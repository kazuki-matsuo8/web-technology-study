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消費税" sheetId="2" state="visible" r:id="rId2"/>
    <sheet xmlns:r="http://schemas.openxmlformats.org/officeDocument/2006/relationships" name="九九" sheetId="3" state="visible" r:id="rId3"/>
    <sheet xmlns:r="http://schemas.openxmlformats.org/officeDocument/2006/relationships" name="成績表" sheetId="4" state="visible" r:id="rId4"/>
    <sheet xmlns:r="http://schemas.openxmlformats.org/officeDocument/2006/relationships" name="売上データ" sheetId="5" state="visible" r:id="rId5"/>
    <sheet xmlns:r="http://schemas.openxmlformats.org/officeDocument/2006/relationships" name="集計" sheetId="6" state="visible" r:id="rId6"/>
    <sheet xmlns:r="http://schemas.openxmlformats.org/officeDocument/2006/relationships" name="商品マスタ" sheetId="7" state="visible" r:id="rId7"/>
    <sheet xmlns:r="http://schemas.openxmlformats.org/officeDocument/2006/relationships" name="注文表" sheetId="8" state="visible" r:id="rId8"/>
    <sheet xmlns:r="http://schemas.openxmlformats.org/officeDocument/2006/relationships" name="月別売上" sheetId="9" state="visible" r:id="rId9"/>
    <sheet xmlns:r="http://schemas.openxmlformats.org/officeDocument/2006/relationships" name="課題管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0.0%"/>
    <numFmt numFmtId="167" formatCode="m/d(aaa)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2" fillId="2" borderId="0" pivotButton="0" quotePrefix="0" xfId="0"/>
    <xf numFmtId="0" fontId="0" fillId="3" borderId="1" pivotButton="0" quotePrefix="0" xfId="0"/>
    <xf numFmtId="165" fontId="0" fillId="0" borderId="1" pivotButton="0" quotePrefix="0" xfId="0"/>
    <xf numFmtId="166" fontId="0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Excel 演習用ブック（解答例）</t>
        </is>
      </c>
    </row>
    <row r="2">
      <c r="A2" t="inlineStr"/>
    </row>
    <row r="3">
      <c r="A3" t="inlineStr">
        <is>
          <t>Office研修_予習/02_Excel の各章「やってみよう」と「07_演習問題」で使うデータです。</t>
        </is>
      </c>
    </row>
    <row r="4">
      <c r="A4" t="inlineStr">
        <is>
          <t>黄色のセルが入力欄です。解答例では数式が入っています。</t>
        </is>
      </c>
    </row>
    <row r="5">
      <c r="A5" t="inlineStr"/>
    </row>
    <row r="6">
      <c r="A6" t="inlineStr">
        <is>
          <t>シート一覧</t>
        </is>
      </c>
    </row>
    <row r="7">
      <c r="A7" t="inlineStr">
        <is>
          <t xml:space="preserve">  消費税      … 絶対参照の練習（Excel-02）</t>
        </is>
      </c>
    </row>
    <row r="8">
      <c r="A8" t="inlineStr">
        <is>
          <t xml:space="preserve">  九九        … 複合参照の練習（Excel-02）</t>
        </is>
      </c>
    </row>
    <row r="9">
      <c r="A9" t="inlineStr">
        <is>
          <t xml:space="preserve">  成績表      … 基本関数・IF・RANK の練習（Excel-02, 03）</t>
        </is>
      </c>
    </row>
    <row r="10">
      <c r="A10" t="inlineStr">
        <is>
          <t xml:space="preserve">  売上データ  … COUNTIF / SUMIF / 並べ替え / フィルター / ピボット（Excel-03, 05）</t>
        </is>
      </c>
    </row>
    <row r="11">
      <c r="A11" t="inlineStr">
        <is>
          <t xml:space="preserve">  集計        … 地域別・担当者別の集計表（Excel-03）</t>
        </is>
      </c>
    </row>
    <row r="12">
      <c r="A12" t="inlineStr">
        <is>
          <t xml:space="preserve">  商品マスタ  … VLOOKUP / XLOOKUP の参照先（Excel-03）</t>
        </is>
      </c>
    </row>
    <row r="13">
      <c r="A13" t="inlineStr">
        <is>
          <t xml:space="preserve">  注文表      … VLOOKUP / XLOOKUP の練習（Excel-03）</t>
        </is>
      </c>
    </row>
    <row r="14">
      <c r="A14" t="inlineStr">
        <is>
          <t xml:space="preserve">  月別売上    … グラフの練習（Excel-06）</t>
        </is>
      </c>
    </row>
    <row r="15">
      <c r="A15" t="inlineStr">
        <is>
          <t xml:space="preserve">  課題管理    … 入力規則・条件付き書式の練習（Excel-04）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</cols>
  <sheetData>
    <row r="1">
      <c r="A1" s="2" t="inlineStr">
        <is>
          <t>消費税率</t>
        </is>
      </c>
      <c r="B1" s="3" t="n">
        <v>0.1</v>
      </c>
    </row>
    <row r="3">
      <c r="A3" s="4" t="inlineStr">
        <is>
          <t>商品</t>
        </is>
      </c>
      <c r="B3" s="4" t="inlineStr">
        <is>
          <t>価格</t>
        </is>
      </c>
      <c r="C3" s="4" t="inlineStr">
        <is>
          <t>税込価格</t>
        </is>
      </c>
    </row>
    <row r="4">
      <c r="A4" s="5" t="inlineStr">
        <is>
          <t>りんご</t>
        </is>
      </c>
      <c r="B4" s="6" t="n">
        <v>100</v>
      </c>
      <c r="C4" s="7">
        <f>B4*(1+$B$1)</f>
        <v/>
      </c>
    </row>
    <row r="5">
      <c r="A5" s="5" t="inlineStr">
        <is>
          <t>みかん</t>
        </is>
      </c>
      <c r="B5" s="6" t="n">
        <v>200</v>
      </c>
      <c r="C5" s="7">
        <f>B5*(1+$B$1)</f>
        <v/>
      </c>
    </row>
    <row r="6">
      <c r="A6" s="5" t="inlineStr">
        <is>
          <t>ぶどう</t>
        </is>
      </c>
      <c r="B6" s="6" t="n">
        <v>500</v>
      </c>
      <c r="C6" s="7">
        <f>B6*(1+$B$1)</f>
        <v/>
      </c>
    </row>
    <row r="7">
      <c r="A7" s="5" t="inlineStr">
        <is>
          <t>メロン</t>
        </is>
      </c>
      <c r="B7" s="6" t="n">
        <v>1200</v>
      </c>
      <c r="C7" s="7">
        <f>B7*(1+$B$1)</f>
        <v/>
      </c>
    </row>
    <row r="8">
      <c r="A8" s="5" t="inlineStr">
        <is>
          <t>いちご</t>
        </is>
      </c>
      <c r="B8" s="6" t="n">
        <v>680</v>
      </c>
      <c r="C8" s="7">
        <f>B8*(1+$B$1)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</row>
    <row r="2">
      <c r="A2" s="8" t="n">
        <v>1</v>
      </c>
      <c r="B2" s="9">
        <f>$A2*B$1</f>
        <v/>
      </c>
      <c r="C2" s="9">
        <f>$A2*C$1</f>
        <v/>
      </c>
      <c r="D2" s="9">
        <f>$A2*D$1</f>
        <v/>
      </c>
      <c r="E2" s="9">
        <f>$A2*E$1</f>
        <v/>
      </c>
      <c r="F2" s="9">
        <f>$A2*F$1</f>
        <v/>
      </c>
      <c r="G2" s="9">
        <f>$A2*G$1</f>
        <v/>
      </c>
      <c r="H2" s="9">
        <f>$A2*H$1</f>
        <v/>
      </c>
      <c r="I2" s="9">
        <f>$A2*I$1</f>
        <v/>
      </c>
      <c r="J2" s="9">
        <f>$A2*J$1</f>
        <v/>
      </c>
    </row>
    <row r="3">
      <c r="A3" s="8" t="n">
        <v>2</v>
      </c>
      <c r="B3" s="9">
        <f>$A3*B$1</f>
        <v/>
      </c>
      <c r="C3" s="9">
        <f>$A3*C$1</f>
        <v/>
      </c>
      <c r="D3" s="9">
        <f>$A3*D$1</f>
        <v/>
      </c>
      <c r="E3" s="9">
        <f>$A3*E$1</f>
        <v/>
      </c>
      <c r="F3" s="9">
        <f>$A3*F$1</f>
        <v/>
      </c>
      <c r="G3" s="9">
        <f>$A3*G$1</f>
        <v/>
      </c>
      <c r="H3" s="9">
        <f>$A3*H$1</f>
        <v/>
      </c>
      <c r="I3" s="9">
        <f>$A3*I$1</f>
        <v/>
      </c>
      <c r="J3" s="9">
        <f>$A3*J$1</f>
        <v/>
      </c>
    </row>
    <row r="4">
      <c r="A4" s="8" t="n">
        <v>3</v>
      </c>
      <c r="B4" s="9">
        <f>$A4*B$1</f>
        <v/>
      </c>
      <c r="C4" s="9">
        <f>$A4*C$1</f>
        <v/>
      </c>
      <c r="D4" s="9">
        <f>$A4*D$1</f>
        <v/>
      </c>
      <c r="E4" s="9">
        <f>$A4*E$1</f>
        <v/>
      </c>
      <c r="F4" s="9">
        <f>$A4*F$1</f>
        <v/>
      </c>
      <c r="G4" s="9">
        <f>$A4*G$1</f>
        <v/>
      </c>
      <c r="H4" s="9">
        <f>$A4*H$1</f>
        <v/>
      </c>
      <c r="I4" s="9">
        <f>$A4*I$1</f>
        <v/>
      </c>
      <c r="J4" s="9">
        <f>$A4*J$1</f>
        <v/>
      </c>
    </row>
    <row r="5">
      <c r="A5" s="8" t="n">
        <v>4</v>
      </c>
      <c r="B5" s="9">
        <f>$A5*B$1</f>
        <v/>
      </c>
      <c r="C5" s="9">
        <f>$A5*C$1</f>
        <v/>
      </c>
      <c r="D5" s="9">
        <f>$A5*D$1</f>
        <v/>
      </c>
      <c r="E5" s="9">
        <f>$A5*E$1</f>
        <v/>
      </c>
      <c r="F5" s="9">
        <f>$A5*F$1</f>
        <v/>
      </c>
      <c r="G5" s="9">
        <f>$A5*G$1</f>
        <v/>
      </c>
      <c r="H5" s="9">
        <f>$A5*H$1</f>
        <v/>
      </c>
      <c r="I5" s="9">
        <f>$A5*I$1</f>
        <v/>
      </c>
      <c r="J5" s="9">
        <f>$A5*J$1</f>
        <v/>
      </c>
    </row>
    <row r="6">
      <c r="A6" s="8" t="n">
        <v>5</v>
      </c>
      <c r="B6" s="9">
        <f>$A6*B$1</f>
        <v/>
      </c>
      <c r="C6" s="9">
        <f>$A6*C$1</f>
        <v/>
      </c>
      <c r="D6" s="9">
        <f>$A6*D$1</f>
        <v/>
      </c>
      <c r="E6" s="9">
        <f>$A6*E$1</f>
        <v/>
      </c>
      <c r="F6" s="9">
        <f>$A6*F$1</f>
        <v/>
      </c>
      <c r="G6" s="9">
        <f>$A6*G$1</f>
        <v/>
      </c>
      <c r="H6" s="9">
        <f>$A6*H$1</f>
        <v/>
      </c>
      <c r="I6" s="9">
        <f>$A6*I$1</f>
        <v/>
      </c>
      <c r="J6" s="9">
        <f>$A6*J$1</f>
        <v/>
      </c>
    </row>
    <row r="7">
      <c r="A7" s="8" t="n">
        <v>6</v>
      </c>
      <c r="B7" s="9">
        <f>$A7*B$1</f>
        <v/>
      </c>
      <c r="C7" s="9">
        <f>$A7*C$1</f>
        <v/>
      </c>
      <c r="D7" s="9">
        <f>$A7*D$1</f>
        <v/>
      </c>
      <c r="E7" s="9">
        <f>$A7*E$1</f>
        <v/>
      </c>
      <c r="F7" s="9">
        <f>$A7*F$1</f>
        <v/>
      </c>
      <c r="G7" s="9">
        <f>$A7*G$1</f>
        <v/>
      </c>
      <c r="H7" s="9">
        <f>$A7*H$1</f>
        <v/>
      </c>
      <c r="I7" s="9">
        <f>$A7*I$1</f>
        <v/>
      </c>
      <c r="J7" s="9">
        <f>$A7*J$1</f>
        <v/>
      </c>
    </row>
    <row r="8">
      <c r="A8" s="8" t="n">
        <v>7</v>
      </c>
      <c r="B8" s="9">
        <f>$A8*B$1</f>
        <v/>
      </c>
      <c r="C8" s="9">
        <f>$A8*C$1</f>
        <v/>
      </c>
      <c r="D8" s="9">
        <f>$A8*D$1</f>
        <v/>
      </c>
      <c r="E8" s="9">
        <f>$A8*E$1</f>
        <v/>
      </c>
      <c r="F8" s="9">
        <f>$A8*F$1</f>
        <v/>
      </c>
      <c r="G8" s="9">
        <f>$A8*G$1</f>
        <v/>
      </c>
      <c r="H8" s="9">
        <f>$A8*H$1</f>
        <v/>
      </c>
      <c r="I8" s="9">
        <f>$A8*I$1</f>
        <v/>
      </c>
      <c r="J8" s="9">
        <f>$A8*J$1</f>
        <v/>
      </c>
    </row>
    <row r="9">
      <c r="A9" s="8" t="n">
        <v>8</v>
      </c>
      <c r="B9" s="9">
        <f>$A9*B$1</f>
        <v/>
      </c>
      <c r="C9" s="9">
        <f>$A9*C$1</f>
        <v/>
      </c>
      <c r="D9" s="9">
        <f>$A9*D$1</f>
        <v/>
      </c>
      <c r="E9" s="9">
        <f>$A9*E$1</f>
        <v/>
      </c>
      <c r="F9" s="9">
        <f>$A9*F$1</f>
        <v/>
      </c>
      <c r="G9" s="9">
        <f>$A9*G$1</f>
        <v/>
      </c>
      <c r="H9" s="9">
        <f>$A9*H$1</f>
        <v/>
      </c>
      <c r="I9" s="9">
        <f>$A9*I$1</f>
        <v/>
      </c>
      <c r="J9" s="9">
        <f>$A9*J$1</f>
        <v/>
      </c>
    </row>
    <row r="10">
      <c r="A10" s="8" t="n">
        <v>9</v>
      </c>
      <c r="B10" s="9">
        <f>$A10*B$1</f>
        <v/>
      </c>
      <c r="C10" s="9">
        <f>$A10*C$1</f>
        <v/>
      </c>
      <c r="D10" s="9">
        <f>$A10*D$1</f>
        <v/>
      </c>
      <c r="E10" s="9">
        <f>$A10*E$1</f>
        <v/>
      </c>
      <c r="F10" s="9">
        <f>$A10*F$1</f>
        <v/>
      </c>
      <c r="G10" s="9">
        <f>$A10*G$1</f>
        <v/>
      </c>
      <c r="H10" s="9">
        <f>$A10*H$1</f>
        <v/>
      </c>
      <c r="I10" s="9">
        <f>$A10*I$1</f>
        <v/>
      </c>
      <c r="J10" s="9">
        <f>$A10*J$1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4" t="inlineStr">
        <is>
          <t>氏名</t>
        </is>
      </c>
      <c r="B1" s="4" t="inlineStr">
        <is>
          <t>Word</t>
        </is>
      </c>
      <c r="C1" s="4" t="inlineStr">
        <is>
          <t>Excel</t>
        </is>
      </c>
      <c r="D1" s="4" t="inlineStr">
        <is>
          <t>PowerPoint</t>
        </is>
      </c>
      <c r="E1" s="4" t="inlineStr">
        <is>
          <t>合計</t>
        </is>
      </c>
      <c r="F1" s="4" t="inlineStr">
        <is>
          <t>平均</t>
        </is>
      </c>
      <c r="G1" s="4" t="inlineStr">
        <is>
          <t>順位</t>
        </is>
      </c>
      <c r="H1" s="4" t="inlineStr">
        <is>
          <t>評価</t>
        </is>
      </c>
      <c r="I1" s="4" t="inlineStr">
        <is>
          <t>Excel合否</t>
        </is>
      </c>
    </row>
    <row r="2">
      <c r="A2" s="5" t="inlineStr">
        <is>
          <t>青木</t>
        </is>
      </c>
      <c r="B2" s="5" t="n">
        <v>78</v>
      </c>
      <c r="C2" s="5" t="n">
        <v>85</v>
      </c>
      <c r="D2" s="5" t="n">
        <v>90</v>
      </c>
      <c r="E2" s="9">
        <f>SUM(B2:D2)</f>
        <v/>
      </c>
      <c r="F2" s="9">
        <f>ROUND(AVERAGE(B2:D2),1)</f>
        <v/>
      </c>
      <c r="G2" s="9">
        <f>_xlfn.RANK.EQ(E2,$E$2:$E$11)</f>
        <v/>
      </c>
      <c r="H2" s="9">
        <f>IF(F2&gt;=80,"A",IF(F2&gt;=60,"B","C"))</f>
        <v/>
      </c>
      <c r="I2" s="9">
        <f>IF(C2&gt;=60,"合格","不合格")</f>
        <v/>
      </c>
    </row>
    <row r="3">
      <c r="A3" s="5" t="inlineStr">
        <is>
          <t>井上</t>
        </is>
      </c>
      <c r="B3" s="5" t="n">
        <v>92</v>
      </c>
      <c r="C3" s="5" t="n">
        <v>88</v>
      </c>
      <c r="D3" s="5" t="n">
        <v>75</v>
      </c>
      <c r="E3" s="9">
        <f>SUM(B3:D3)</f>
        <v/>
      </c>
      <c r="F3" s="9">
        <f>ROUND(AVERAGE(B3:D3),1)</f>
        <v/>
      </c>
      <c r="G3" s="9">
        <f>_xlfn.RANK.EQ(E3,$E$2:$E$11)</f>
        <v/>
      </c>
      <c r="H3" s="9">
        <f>IF(F3&gt;=80,"A",IF(F3&gt;=60,"B","C"))</f>
        <v/>
      </c>
      <c r="I3" s="9">
        <f>IF(C3&gt;=60,"合格","不合格")</f>
        <v/>
      </c>
    </row>
    <row r="4">
      <c r="A4" s="5" t="inlineStr">
        <is>
          <t>上田</t>
        </is>
      </c>
      <c r="B4" s="5" t="n">
        <v>65</v>
      </c>
      <c r="C4" s="5" t="n">
        <v>52</v>
      </c>
      <c r="D4" s="5" t="n">
        <v>70</v>
      </c>
      <c r="E4" s="9">
        <f>SUM(B4:D4)</f>
        <v/>
      </c>
      <c r="F4" s="9">
        <f>ROUND(AVERAGE(B4:D4),1)</f>
        <v/>
      </c>
      <c r="G4" s="9">
        <f>_xlfn.RANK.EQ(E4,$E$2:$E$11)</f>
        <v/>
      </c>
      <c r="H4" s="9">
        <f>IF(F4&gt;=80,"A",IF(F4&gt;=60,"B","C"))</f>
        <v/>
      </c>
      <c r="I4" s="9">
        <f>IF(C4&gt;=60,"合格","不合格")</f>
        <v/>
      </c>
    </row>
    <row r="5">
      <c r="A5" s="5" t="inlineStr">
        <is>
          <t>江口</t>
        </is>
      </c>
      <c r="B5" s="5" t="n">
        <v>88</v>
      </c>
      <c r="C5" s="5" t="n">
        <v>95</v>
      </c>
      <c r="D5" s="5" t="n">
        <v>82</v>
      </c>
      <c r="E5" s="9">
        <f>SUM(B5:D5)</f>
        <v/>
      </c>
      <c r="F5" s="9">
        <f>ROUND(AVERAGE(B5:D5),1)</f>
        <v/>
      </c>
      <c r="G5" s="9">
        <f>_xlfn.RANK.EQ(E5,$E$2:$E$11)</f>
        <v/>
      </c>
      <c r="H5" s="9">
        <f>IF(F5&gt;=80,"A",IF(F5&gt;=60,"B","C"))</f>
        <v/>
      </c>
      <c r="I5" s="9">
        <f>IF(C5&gt;=60,"合格","不合格")</f>
        <v/>
      </c>
    </row>
    <row r="6">
      <c r="A6" s="5" t="inlineStr">
        <is>
          <t>大野</t>
        </is>
      </c>
      <c r="B6" s="5" t="n">
        <v>55</v>
      </c>
      <c r="C6" s="5" t="n">
        <v>61</v>
      </c>
      <c r="D6" s="5" t="n">
        <v>48</v>
      </c>
      <c r="E6" s="9">
        <f>SUM(B6:D6)</f>
        <v/>
      </c>
      <c r="F6" s="9">
        <f>ROUND(AVERAGE(B6:D6),1)</f>
        <v/>
      </c>
      <c r="G6" s="9">
        <f>_xlfn.RANK.EQ(E6,$E$2:$E$11)</f>
        <v/>
      </c>
      <c r="H6" s="9">
        <f>IF(F6&gt;=80,"A",IF(F6&gt;=60,"B","C"))</f>
        <v/>
      </c>
      <c r="I6" s="9">
        <f>IF(C6&gt;=60,"合格","不合格")</f>
        <v/>
      </c>
    </row>
    <row r="7">
      <c r="A7" s="5" t="inlineStr">
        <is>
          <t>加藤</t>
        </is>
      </c>
      <c r="B7" s="5" t="n">
        <v>70</v>
      </c>
      <c r="C7" s="5" t="n">
        <v>74</v>
      </c>
      <c r="D7" s="5" t="n">
        <v>79</v>
      </c>
      <c r="E7" s="9">
        <f>SUM(B7:D7)</f>
        <v/>
      </c>
      <c r="F7" s="9">
        <f>ROUND(AVERAGE(B7:D7),1)</f>
        <v/>
      </c>
      <c r="G7" s="9">
        <f>_xlfn.RANK.EQ(E7,$E$2:$E$11)</f>
        <v/>
      </c>
      <c r="H7" s="9">
        <f>IF(F7&gt;=80,"A",IF(F7&gt;=60,"B","C"))</f>
        <v/>
      </c>
      <c r="I7" s="9">
        <f>IF(C7&gt;=60,"合格","不合格")</f>
        <v/>
      </c>
    </row>
    <row r="8">
      <c r="A8" s="5" t="inlineStr">
        <is>
          <t>木村</t>
        </is>
      </c>
      <c r="B8" s="5" t="n">
        <v>81</v>
      </c>
      <c r="C8" s="5" t="n">
        <v>59</v>
      </c>
      <c r="D8" s="5" t="n">
        <v>88</v>
      </c>
      <c r="E8" s="9">
        <f>SUM(B8:D8)</f>
        <v/>
      </c>
      <c r="F8" s="9">
        <f>ROUND(AVERAGE(B8:D8),1)</f>
        <v/>
      </c>
      <c r="G8" s="9">
        <f>_xlfn.RANK.EQ(E8,$E$2:$E$11)</f>
        <v/>
      </c>
      <c r="H8" s="9">
        <f>IF(F8&gt;=80,"A",IF(F8&gt;=60,"B","C"))</f>
        <v/>
      </c>
      <c r="I8" s="9">
        <f>IF(C8&gt;=60,"合格","不合格")</f>
        <v/>
      </c>
    </row>
    <row r="9">
      <c r="A9" s="5" t="inlineStr">
        <is>
          <t>工藤</t>
        </is>
      </c>
      <c r="B9" s="5" t="n">
        <v>95</v>
      </c>
      <c r="C9" s="5" t="n">
        <v>91</v>
      </c>
      <c r="D9" s="5" t="n">
        <v>93</v>
      </c>
      <c r="E9" s="9">
        <f>SUM(B9:D9)</f>
        <v/>
      </c>
      <c r="F9" s="9">
        <f>ROUND(AVERAGE(B9:D9),1)</f>
        <v/>
      </c>
      <c r="G9" s="9">
        <f>_xlfn.RANK.EQ(E9,$E$2:$E$11)</f>
        <v/>
      </c>
      <c r="H9" s="9">
        <f>IF(F9&gt;=80,"A",IF(F9&gt;=60,"B","C"))</f>
        <v/>
      </c>
      <c r="I9" s="9">
        <f>IF(C9&gt;=60,"合格","不合格")</f>
        <v/>
      </c>
    </row>
    <row r="10">
      <c r="A10" s="5" t="inlineStr">
        <is>
          <t>小林</t>
        </is>
      </c>
      <c r="B10" s="5" t="n">
        <v>60</v>
      </c>
      <c r="C10" s="5" t="n">
        <v>77</v>
      </c>
      <c r="D10" s="5" t="n">
        <v>66</v>
      </c>
      <c r="E10" s="9">
        <f>SUM(B10:D10)</f>
        <v/>
      </c>
      <c r="F10" s="9">
        <f>ROUND(AVERAGE(B10:D10),1)</f>
        <v/>
      </c>
      <c r="G10" s="9">
        <f>_xlfn.RANK.EQ(E10,$E$2:$E$11)</f>
        <v/>
      </c>
      <c r="H10" s="9">
        <f>IF(F10&gt;=80,"A",IF(F10&gt;=60,"B","C"))</f>
        <v/>
      </c>
      <c r="I10" s="9">
        <f>IF(C10&gt;=60,"合格","不合格")</f>
        <v/>
      </c>
    </row>
    <row r="11">
      <c r="A11" s="5" t="inlineStr">
        <is>
          <t>斉藤</t>
        </is>
      </c>
      <c r="B11" s="5" t="n">
        <v>73</v>
      </c>
      <c r="C11" s="5" t="n">
        <v>80</v>
      </c>
      <c r="D11" s="5" t="n"/>
      <c r="E11" s="9">
        <f>SUM(B11:D11)</f>
        <v/>
      </c>
      <c r="F11" s="9">
        <f>ROUND(AVERAGE(B11:D11),1)</f>
        <v/>
      </c>
      <c r="G11" s="9">
        <f>_xlfn.RANK.EQ(E11,$E$2:$E$11)</f>
        <v/>
      </c>
      <c r="H11" s="9">
        <f>IF(F11&gt;=80,"A",IF(F11&gt;=60,"B","C"))</f>
        <v/>
      </c>
      <c r="I11" s="9">
        <f>IF(C11&gt;=60,"合格","不合格")</f>
        <v/>
      </c>
    </row>
    <row r="12">
      <c r="J12" t="inlineStr">
        <is>
          <t>※斉藤さんは PowerPoint 未受験（空欄）</t>
        </is>
      </c>
    </row>
    <row r="13">
      <c r="A13" s="2" t="inlineStr">
        <is>
          <t>最高点</t>
        </is>
      </c>
      <c r="B13" s="9">
        <f>MAX(B2:B11)</f>
        <v/>
      </c>
      <c r="C13" s="9">
        <f>MAX(C2:C11)</f>
        <v/>
      </c>
      <c r="D13" s="9">
        <f>MAX(D2:D11)</f>
        <v/>
      </c>
    </row>
    <row r="14">
      <c r="A14" s="2" t="inlineStr">
        <is>
          <t>最低点</t>
        </is>
      </c>
      <c r="B14" s="9">
        <f>MIN(B2:B11)</f>
        <v/>
      </c>
      <c r="C14" s="9">
        <f>MIN(C2:C11)</f>
        <v/>
      </c>
      <c r="D14" s="9">
        <f>MIN(D2:D11)</f>
        <v/>
      </c>
    </row>
    <row r="15">
      <c r="A15" s="2" t="inlineStr">
        <is>
          <t>平均点</t>
        </is>
      </c>
      <c r="B15" s="9">
        <f>ROUND(AVERAGE(B2:B11),1)</f>
        <v/>
      </c>
      <c r="C15" s="9">
        <f>ROUND(AVERAGE(C2:C11),1)</f>
        <v/>
      </c>
      <c r="D15" s="9">
        <f>ROUND(AVERAGE(D2:D11),1)</f>
        <v/>
      </c>
    </row>
    <row r="16">
      <c r="A16" s="2" t="inlineStr">
        <is>
          <t>受験者数</t>
        </is>
      </c>
      <c r="B16" s="9">
        <f>COUNT(B2:B11)</f>
        <v/>
      </c>
      <c r="C16" s="9">
        <f>COUNT(C2:C11)</f>
        <v/>
      </c>
      <c r="D16" s="9">
        <f>COUNT(D2:D11)</f>
        <v/>
      </c>
    </row>
    <row r="17">
      <c r="A17" s="2" t="inlineStr">
        <is>
          <t>名簿の人数</t>
        </is>
      </c>
      <c r="B17" s="9">
        <f>COUNTA(A2:A11)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8" customWidth="1" min="5" max="5"/>
    <col width="12" customWidth="1" min="6" max="6"/>
    <col width="8" customWidth="1" min="7" max="7"/>
  </cols>
  <sheetData>
    <row r="1">
      <c r="A1" s="4" t="inlineStr">
        <is>
          <t>日付</t>
        </is>
      </c>
      <c r="B1" s="4" t="inlineStr">
        <is>
          <t>担当者</t>
        </is>
      </c>
      <c r="C1" s="4" t="inlineStr">
        <is>
          <t>地域</t>
        </is>
      </c>
      <c r="D1" s="4" t="inlineStr">
        <is>
          <t>商品</t>
        </is>
      </c>
      <c r="E1" s="4" t="inlineStr">
        <is>
          <t>数量</t>
        </is>
      </c>
      <c r="F1" s="4" t="inlineStr">
        <is>
          <t>金額</t>
        </is>
      </c>
      <c r="G1" s="4" t="inlineStr">
        <is>
          <t>区分</t>
        </is>
      </c>
    </row>
    <row r="2">
      <c r="A2" s="10" t="n">
        <v>46113</v>
      </c>
      <c r="B2" s="5" t="inlineStr">
        <is>
          <t>佐藤</t>
        </is>
      </c>
      <c r="C2" s="5" t="inlineStr">
        <is>
          <t>東京</t>
        </is>
      </c>
      <c r="D2" s="5" t="inlineStr">
        <is>
          <t>ノートPC</t>
        </is>
      </c>
      <c r="E2" s="5" t="n">
        <v>2</v>
      </c>
      <c r="F2" s="6" t="n">
        <v>300000</v>
      </c>
      <c r="G2" s="9">
        <f>IF(F2&gt;=100000,"大口","通常")</f>
        <v/>
      </c>
    </row>
    <row r="3">
      <c r="A3" s="10" t="n">
        <v>46113</v>
      </c>
      <c r="B3" s="5" t="inlineStr">
        <is>
          <t>鈴木</t>
        </is>
      </c>
      <c r="C3" s="5" t="inlineStr">
        <is>
          <t>大阪</t>
        </is>
      </c>
      <c r="D3" s="5" t="inlineStr">
        <is>
          <t>マウス</t>
        </is>
      </c>
      <c r="E3" s="5" t="n">
        <v>10</v>
      </c>
      <c r="F3" s="6" t="n">
        <v>30000</v>
      </c>
      <c r="G3" s="9">
        <f>IF(F3&gt;=100000,"大口","通常")</f>
        <v/>
      </c>
    </row>
    <row r="4">
      <c r="A4" s="10" t="n">
        <v>46114</v>
      </c>
      <c r="B4" s="5" t="inlineStr">
        <is>
          <t>佐藤</t>
        </is>
      </c>
      <c r="C4" s="5" t="inlineStr">
        <is>
          <t>東京</t>
        </is>
      </c>
      <c r="D4" s="5" t="inlineStr">
        <is>
          <t>モニター</t>
        </is>
      </c>
      <c r="E4" s="5" t="n">
        <v>3</v>
      </c>
      <c r="F4" s="6" t="n">
        <v>105000</v>
      </c>
      <c r="G4" s="9">
        <f>IF(F4&gt;=100000,"大口","通常")</f>
        <v/>
      </c>
    </row>
    <row r="5">
      <c r="A5" s="10" t="n">
        <v>46115</v>
      </c>
      <c r="B5" s="5" t="inlineStr">
        <is>
          <t>高橋</t>
        </is>
      </c>
      <c r="C5" s="5" t="inlineStr">
        <is>
          <t>名古屋</t>
        </is>
      </c>
      <c r="D5" s="5" t="inlineStr">
        <is>
          <t>ノートPC</t>
        </is>
      </c>
      <c r="E5" s="5" t="n">
        <v>1</v>
      </c>
      <c r="F5" s="6" t="n">
        <v>150000</v>
      </c>
      <c r="G5" s="9">
        <f>IF(F5&gt;=100000,"大口","通常")</f>
        <v/>
      </c>
    </row>
    <row r="6">
      <c r="A6" s="10" t="n">
        <v>46115</v>
      </c>
      <c r="B6" s="5" t="inlineStr">
        <is>
          <t>鈴木</t>
        </is>
      </c>
      <c r="C6" s="5" t="inlineStr">
        <is>
          <t>大阪</t>
        </is>
      </c>
      <c r="D6" s="5" t="inlineStr">
        <is>
          <t>キーボード</t>
        </is>
      </c>
      <c r="E6" s="5" t="n">
        <v>5</v>
      </c>
      <c r="F6" s="6" t="n">
        <v>40000</v>
      </c>
      <c r="G6" s="9">
        <f>IF(F6&gt;=100000,"大口","通常")</f>
        <v/>
      </c>
    </row>
    <row r="7">
      <c r="A7" s="10" t="n">
        <v>46116</v>
      </c>
      <c r="B7" s="5" t="inlineStr">
        <is>
          <t>佐藤</t>
        </is>
      </c>
      <c r="C7" s="5" t="inlineStr">
        <is>
          <t>東京</t>
        </is>
      </c>
      <c r="D7" s="5" t="inlineStr">
        <is>
          <t>ノートPC</t>
        </is>
      </c>
      <c r="E7" s="5" t="n">
        <v>1</v>
      </c>
      <c r="F7" s="6" t="n">
        <v>150000</v>
      </c>
      <c r="G7" s="9">
        <f>IF(F7&gt;=100000,"大口","通常")</f>
        <v/>
      </c>
    </row>
    <row r="8">
      <c r="A8" s="10" t="n">
        <v>46116</v>
      </c>
      <c r="B8" s="5" t="inlineStr">
        <is>
          <t>佐藤</t>
        </is>
      </c>
      <c r="C8" s="5" t="inlineStr">
        <is>
          <t>東京</t>
        </is>
      </c>
      <c r="D8" s="5" t="inlineStr">
        <is>
          <t>キーボード</t>
        </is>
      </c>
      <c r="E8" s="5" t="n">
        <v>2</v>
      </c>
      <c r="F8" s="6" t="n">
        <v>16000</v>
      </c>
      <c r="G8" s="9">
        <f>IF(F8&gt;=100000,"大口","通常")</f>
        <v/>
      </c>
    </row>
    <row r="9">
      <c r="A9" s="10" t="n">
        <v>46117</v>
      </c>
      <c r="B9" s="5" t="inlineStr">
        <is>
          <t>鈴木</t>
        </is>
      </c>
      <c r="C9" s="5" t="inlineStr">
        <is>
          <t>大阪</t>
        </is>
      </c>
      <c r="D9" s="5" t="inlineStr">
        <is>
          <t>ノートPC</t>
        </is>
      </c>
      <c r="E9" s="5" t="n">
        <v>3</v>
      </c>
      <c r="F9" s="6" t="n">
        <v>450000</v>
      </c>
      <c r="G9" s="9">
        <f>IF(F9&gt;=100000,"大口","通常")</f>
        <v/>
      </c>
    </row>
    <row r="10">
      <c r="A10" s="10" t="n">
        <v>46118</v>
      </c>
      <c r="B10" s="5" t="inlineStr">
        <is>
          <t>田中</t>
        </is>
      </c>
      <c r="C10" s="5" t="inlineStr">
        <is>
          <t>東京</t>
        </is>
      </c>
      <c r="D10" s="5" t="inlineStr">
        <is>
          <t>ヘッドセット</t>
        </is>
      </c>
      <c r="E10" s="5" t="n">
        <v>3</v>
      </c>
      <c r="F10" s="6" t="n">
        <v>36000</v>
      </c>
      <c r="G10" s="9">
        <f>IF(F10&gt;=100000,"大口","通常")</f>
        <v/>
      </c>
    </row>
    <row r="11">
      <c r="A11" s="10" t="n">
        <v>46120</v>
      </c>
      <c r="B11" s="5" t="inlineStr">
        <is>
          <t>高橋</t>
        </is>
      </c>
      <c r="C11" s="5" t="inlineStr">
        <is>
          <t>大阪</t>
        </is>
      </c>
      <c r="D11" s="5" t="inlineStr">
        <is>
          <t>ヘッドセット</t>
        </is>
      </c>
      <c r="E11" s="5" t="n">
        <v>7</v>
      </c>
      <c r="F11" s="6" t="n">
        <v>84000</v>
      </c>
      <c r="G11" s="9">
        <f>IF(F11&gt;=100000,"大口","通常")</f>
        <v/>
      </c>
    </row>
    <row r="12">
      <c r="A12" s="10" t="n">
        <v>46121</v>
      </c>
      <c r="B12" s="5" t="inlineStr">
        <is>
          <t>佐藤</t>
        </is>
      </c>
      <c r="C12" s="5" t="inlineStr">
        <is>
          <t>東京</t>
        </is>
      </c>
      <c r="D12" s="5" t="inlineStr">
        <is>
          <t>ノートPC</t>
        </is>
      </c>
      <c r="E12" s="5" t="n">
        <v>1</v>
      </c>
      <c r="F12" s="6" t="n">
        <v>150000</v>
      </c>
      <c r="G12" s="9">
        <f>IF(F12&gt;=100000,"大口","通常")</f>
        <v/>
      </c>
    </row>
    <row r="13">
      <c r="A13" s="10" t="n">
        <v>46121</v>
      </c>
      <c r="B13" s="5" t="inlineStr">
        <is>
          <t>田中</t>
        </is>
      </c>
      <c r="C13" s="5" t="inlineStr">
        <is>
          <t>大阪</t>
        </is>
      </c>
      <c r="D13" s="5" t="inlineStr">
        <is>
          <t>ヘッドセット</t>
        </is>
      </c>
      <c r="E13" s="5" t="n">
        <v>8</v>
      </c>
      <c r="F13" s="6" t="n">
        <v>96000</v>
      </c>
      <c r="G13" s="9">
        <f>IF(F13&gt;=100000,"大口","通常")</f>
        <v/>
      </c>
    </row>
    <row r="14">
      <c r="A14" s="10" t="n">
        <v>46122</v>
      </c>
      <c r="B14" s="5" t="inlineStr">
        <is>
          <t>佐藤</t>
        </is>
      </c>
      <c r="C14" s="5" t="inlineStr">
        <is>
          <t>東京</t>
        </is>
      </c>
      <c r="D14" s="5" t="inlineStr">
        <is>
          <t>ヘッドセット</t>
        </is>
      </c>
      <c r="E14" s="5" t="n">
        <v>2</v>
      </c>
      <c r="F14" s="6" t="n">
        <v>24000</v>
      </c>
      <c r="G14" s="9">
        <f>IF(F14&gt;=100000,"大口","通常")</f>
        <v/>
      </c>
    </row>
    <row r="15">
      <c r="A15" s="10" t="n">
        <v>46124</v>
      </c>
      <c r="B15" s="5" t="inlineStr">
        <is>
          <t>鈴木</t>
        </is>
      </c>
      <c r="C15" s="5" t="inlineStr">
        <is>
          <t>東京</t>
        </is>
      </c>
      <c r="D15" s="5" t="inlineStr">
        <is>
          <t>モニター</t>
        </is>
      </c>
      <c r="E15" s="5" t="n">
        <v>5</v>
      </c>
      <c r="F15" s="6" t="n">
        <v>175000</v>
      </c>
      <c r="G15" s="9">
        <f>IF(F15&gt;=100000,"大口","通常")</f>
        <v/>
      </c>
    </row>
    <row r="16">
      <c r="A16" s="10" t="n">
        <v>46125</v>
      </c>
      <c r="B16" s="5" t="inlineStr">
        <is>
          <t>田中</t>
        </is>
      </c>
      <c r="C16" s="5" t="inlineStr">
        <is>
          <t>大阪</t>
        </is>
      </c>
      <c r="D16" s="5" t="inlineStr">
        <is>
          <t>ノートPC</t>
        </is>
      </c>
      <c r="E16" s="5" t="n">
        <v>2</v>
      </c>
      <c r="F16" s="6" t="n">
        <v>300000</v>
      </c>
      <c r="G16" s="9">
        <f>IF(F16&gt;=100000,"大口","通常")</f>
        <v/>
      </c>
    </row>
    <row r="17">
      <c r="A17" s="10" t="n">
        <v>46127</v>
      </c>
      <c r="B17" s="5" t="inlineStr">
        <is>
          <t>高橋</t>
        </is>
      </c>
      <c r="C17" s="5" t="inlineStr">
        <is>
          <t>大阪</t>
        </is>
      </c>
      <c r="D17" s="5" t="inlineStr">
        <is>
          <t>ノートPC</t>
        </is>
      </c>
      <c r="E17" s="5" t="n">
        <v>1</v>
      </c>
      <c r="F17" s="6" t="n">
        <v>150000</v>
      </c>
      <c r="G17" s="9">
        <f>IF(F17&gt;=100000,"大口","通常")</f>
        <v/>
      </c>
    </row>
    <row r="18">
      <c r="A18" s="10" t="n">
        <v>46127</v>
      </c>
      <c r="B18" s="5" t="inlineStr">
        <is>
          <t>高橋</t>
        </is>
      </c>
      <c r="C18" s="5" t="inlineStr">
        <is>
          <t>名古屋</t>
        </is>
      </c>
      <c r="D18" s="5" t="inlineStr">
        <is>
          <t>ノートPC</t>
        </is>
      </c>
      <c r="E18" s="5" t="n">
        <v>1</v>
      </c>
      <c r="F18" s="6" t="n">
        <v>150000</v>
      </c>
      <c r="G18" s="9">
        <f>IF(F18&gt;=100000,"大口","通常")</f>
        <v/>
      </c>
    </row>
    <row r="19">
      <c r="A19" s="10" t="n">
        <v>46128</v>
      </c>
      <c r="B19" s="5" t="inlineStr">
        <is>
          <t>田中</t>
        </is>
      </c>
      <c r="C19" s="5" t="inlineStr">
        <is>
          <t>名古屋</t>
        </is>
      </c>
      <c r="D19" s="5" t="inlineStr">
        <is>
          <t>ノートPC</t>
        </is>
      </c>
      <c r="E19" s="5" t="n">
        <v>3</v>
      </c>
      <c r="F19" s="6" t="n">
        <v>450000</v>
      </c>
      <c r="G19" s="9">
        <f>IF(F19&gt;=100000,"大口","通常")</f>
        <v/>
      </c>
    </row>
    <row r="20">
      <c r="A20" s="10" t="n">
        <v>46129</v>
      </c>
      <c r="B20" s="5" t="inlineStr">
        <is>
          <t>鈴木</t>
        </is>
      </c>
      <c r="C20" s="5" t="inlineStr">
        <is>
          <t>大阪</t>
        </is>
      </c>
      <c r="D20" s="5" t="inlineStr">
        <is>
          <t>キーボード</t>
        </is>
      </c>
      <c r="E20" s="5" t="n">
        <v>4</v>
      </c>
      <c r="F20" s="6" t="n">
        <v>32000</v>
      </c>
      <c r="G20" s="9">
        <f>IF(F20&gt;=100000,"大口","通常")</f>
        <v/>
      </c>
    </row>
    <row r="21">
      <c r="A21" s="10" t="n">
        <v>46129</v>
      </c>
      <c r="B21" s="5" t="inlineStr">
        <is>
          <t>田中</t>
        </is>
      </c>
      <c r="C21" s="5" t="inlineStr">
        <is>
          <t>大阪</t>
        </is>
      </c>
      <c r="D21" s="5" t="inlineStr">
        <is>
          <t>マウス</t>
        </is>
      </c>
      <c r="E21" s="5" t="n">
        <v>7</v>
      </c>
      <c r="F21" s="6" t="n">
        <v>21000</v>
      </c>
      <c r="G21" s="9">
        <f>IF(F21&gt;=100000,"大口","通常")</f>
        <v/>
      </c>
    </row>
    <row r="22">
      <c r="A22" s="10" t="n">
        <v>46130</v>
      </c>
      <c r="B22" s="5" t="inlineStr">
        <is>
          <t>佐藤</t>
        </is>
      </c>
      <c r="C22" s="5" t="inlineStr">
        <is>
          <t>東京</t>
        </is>
      </c>
      <c r="D22" s="5" t="inlineStr">
        <is>
          <t>ノートPC</t>
        </is>
      </c>
      <c r="E22" s="5" t="n">
        <v>2</v>
      </c>
      <c r="F22" s="6" t="n">
        <v>300000</v>
      </c>
      <c r="G22" s="9">
        <f>IF(F22&gt;=100000,"大口","通常")</f>
        <v/>
      </c>
    </row>
    <row r="23">
      <c r="A23" s="10" t="n">
        <v>46130</v>
      </c>
      <c r="B23" s="5" t="inlineStr">
        <is>
          <t>鈴木</t>
        </is>
      </c>
      <c r="C23" s="5" t="inlineStr">
        <is>
          <t>大阪</t>
        </is>
      </c>
      <c r="D23" s="5" t="inlineStr">
        <is>
          <t>マウス</t>
        </is>
      </c>
      <c r="E23" s="5" t="n">
        <v>13</v>
      </c>
      <c r="F23" s="6" t="n">
        <v>39000</v>
      </c>
      <c r="G23" s="9">
        <f>IF(F23&gt;=100000,"大口","通常")</f>
        <v/>
      </c>
    </row>
    <row r="24">
      <c r="A24" s="10" t="n">
        <v>46131</v>
      </c>
      <c r="B24" s="5" t="inlineStr">
        <is>
          <t>田中</t>
        </is>
      </c>
      <c r="C24" s="5" t="inlineStr">
        <is>
          <t>大阪</t>
        </is>
      </c>
      <c r="D24" s="5" t="inlineStr">
        <is>
          <t>ノートPC</t>
        </is>
      </c>
      <c r="E24" s="5" t="n">
        <v>3</v>
      </c>
      <c r="F24" s="6" t="n">
        <v>450000</v>
      </c>
      <c r="G24" s="9">
        <f>IF(F24&gt;=100000,"大口","通常")</f>
        <v/>
      </c>
    </row>
    <row r="25">
      <c r="A25" s="10" t="n">
        <v>46131</v>
      </c>
      <c r="B25" s="5" t="inlineStr">
        <is>
          <t>鈴木</t>
        </is>
      </c>
      <c r="C25" s="5" t="inlineStr">
        <is>
          <t>大阪</t>
        </is>
      </c>
      <c r="D25" s="5" t="inlineStr">
        <is>
          <t>キーボード</t>
        </is>
      </c>
      <c r="E25" s="5" t="n">
        <v>2</v>
      </c>
      <c r="F25" s="6" t="n">
        <v>16000</v>
      </c>
      <c r="G25" s="9">
        <f>IF(F25&gt;=100000,"大口","通常")</f>
        <v/>
      </c>
    </row>
    <row r="26">
      <c r="A26" s="10" t="n">
        <v>46132</v>
      </c>
      <c r="B26" s="5" t="inlineStr">
        <is>
          <t>佐藤</t>
        </is>
      </c>
      <c r="C26" s="5" t="inlineStr">
        <is>
          <t>東京</t>
        </is>
      </c>
      <c r="D26" s="5" t="inlineStr">
        <is>
          <t>ノートPC</t>
        </is>
      </c>
      <c r="E26" s="5" t="n">
        <v>1</v>
      </c>
      <c r="F26" s="6" t="n">
        <v>150000</v>
      </c>
      <c r="G26" s="9">
        <f>IF(F26&gt;=100000,"大口","通常")</f>
        <v/>
      </c>
    </row>
    <row r="27">
      <c r="A27" s="10" t="n">
        <v>46132</v>
      </c>
      <c r="B27" s="5" t="inlineStr">
        <is>
          <t>鈴木</t>
        </is>
      </c>
      <c r="C27" s="5" t="inlineStr">
        <is>
          <t>大阪</t>
        </is>
      </c>
      <c r="D27" s="5" t="inlineStr">
        <is>
          <t>マウス</t>
        </is>
      </c>
      <c r="E27" s="5" t="n">
        <v>11</v>
      </c>
      <c r="F27" s="6" t="n">
        <v>33000</v>
      </c>
      <c r="G27" s="9">
        <f>IF(F27&gt;=100000,"大口","通常")</f>
        <v/>
      </c>
    </row>
    <row r="28">
      <c r="A28" s="10" t="n">
        <v>46133</v>
      </c>
      <c r="B28" s="5" t="inlineStr">
        <is>
          <t>鈴木</t>
        </is>
      </c>
      <c r="C28" s="5" t="inlineStr">
        <is>
          <t>東京</t>
        </is>
      </c>
      <c r="D28" s="5" t="inlineStr">
        <is>
          <t>ノートPC</t>
        </is>
      </c>
      <c r="E28" s="5" t="n">
        <v>1</v>
      </c>
      <c r="F28" s="6" t="n">
        <v>150000</v>
      </c>
      <c r="G28" s="9">
        <f>IF(F28&gt;=100000,"大口","通常")</f>
        <v/>
      </c>
    </row>
    <row r="29">
      <c r="A29" s="10" t="n">
        <v>46133</v>
      </c>
      <c r="B29" s="5" t="inlineStr">
        <is>
          <t>高橋</t>
        </is>
      </c>
      <c r="C29" s="5" t="inlineStr">
        <is>
          <t>名古屋</t>
        </is>
      </c>
      <c r="D29" s="5" t="inlineStr">
        <is>
          <t>マウス</t>
        </is>
      </c>
      <c r="E29" s="5" t="n">
        <v>18</v>
      </c>
      <c r="F29" s="6" t="n">
        <v>54000</v>
      </c>
      <c r="G29" s="9">
        <f>IF(F29&gt;=100000,"大口","通常")</f>
        <v/>
      </c>
    </row>
    <row r="30">
      <c r="A30" s="10" t="n">
        <v>46134</v>
      </c>
      <c r="B30" s="5" t="inlineStr">
        <is>
          <t>高橋</t>
        </is>
      </c>
      <c r="C30" s="5" t="inlineStr">
        <is>
          <t>名古屋</t>
        </is>
      </c>
      <c r="D30" s="5" t="inlineStr">
        <is>
          <t>マウス</t>
        </is>
      </c>
      <c r="E30" s="5" t="n">
        <v>15</v>
      </c>
      <c r="F30" s="6" t="n">
        <v>45000</v>
      </c>
      <c r="G30" s="9">
        <f>IF(F30&gt;=100000,"大口","通常")</f>
        <v/>
      </c>
    </row>
    <row r="31">
      <c r="A31" s="10" t="n">
        <v>46137</v>
      </c>
      <c r="B31" s="5" t="inlineStr">
        <is>
          <t>佐藤</t>
        </is>
      </c>
      <c r="C31" s="5" t="inlineStr">
        <is>
          <t>東京</t>
        </is>
      </c>
      <c r="D31" s="5" t="inlineStr">
        <is>
          <t>キーボード</t>
        </is>
      </c>
      <c r="E31" s="5" t="n">
        <v>10</v>
      </c>
      <c r="F31" s="6" t="n">
        <v>80000</v>
      </c>
      <c r="G31" s="9">
        <f>IF(F31&gt;=100000,"大口","通常")</f>
        <v/>
      </c>
    </row>
    <row r="32">
      <c r="A32" s="10" t="n">
        <v>46138</v>
      </c>
      <c r="B32" s="5" t="inlineStr">
        <is>
          <t>鈴木</t>
        </is>
      </c>
      <c r="C32" s="5" t="inlineStr">
        <is>
          <t>大阪</t>
        </is>
      </c>
      <c r="D32" s="5" t="inlineStr">
        <is>
          <t>ヘッドセット</t>
        </is>
      </c>
      <c r="E32" s="5" t="n">
        <v>7</v>
      </c>
      <c r="F32" s="6" t="n">
        <v>84000</v>
      </c>
      <c r="G32" s="9">
        <f>IF(F32&gt;=100000,"大口","通常")</f>
        <v/>
      </c>
    </row>
    <row r="33">
      <c r="A33" s="10" t="n">
        <v>46138</v>
      </c>
      <c r="B33" s="5" t="inlineStr">
        <is>
          <t>田中</t>
        </is>
      </c>
      <c r="C33" s="5" t="inlineStr">
        <is>
          <t>大阪</t>
        </is>
      </c>
      <c r="D33" s="5" t="inlineStr">
        <is>
          <t>キーボード</t>
        </is>
      </c>
      <c r="E33" s="5" t="n">
        <v>7</v>
      </c>
      <c r="F33" s="6" t="n">
        <v>56000</v>
      </c>
      <c r="G33" s="9">
        <f>IF(F33&gt;=100000,"大口","通常")</f>
        <v/>
      </c>
    </row>
    <row r="34">
      <c r="A34" s="10" t="n">
        <v>46139</v>
      </c>
      <c r="B34" s="5" t="inlineStr">
        <is>
          <t>佐藤</t>
        </is>
      </c>
      <c r="C34" s="5" t="inlineStr">
        <is>
          <t>東京</t>
        </is>
      </c>
      <c r="D34" s="5" t="inlineStr">
        <is>
          <t>マウス</t>
        </is>
      </c>
      <c r="E34" s="5" t="n">
        <v>8</v>
      </c>
      <c r="F34" s="6" t="n">
        <v>24000</v>
      </c>
      <c r="G34" s="9">
        <f>IF(F34&gt;=100000,"大口","通常")</f>
        <v/>
      </c>
    </row>
    <row r="35">
      <c r="A35" s="10" t="n">
        <v>46139</v>
      </c>
      <c r="B35" s="5" t="inlineStr">
        <is>
          <t>田中</t>
        </is>
      </c>
      <c r="C35" s="5" t="inlineStr">
        <is>
          <t>東京</t>
        </is>
      </c>
      <c r="D35" s="5" t="inlineStr">
        <is>
          <t>マウス</t>
        </is>
      </c>
      <c r="E35" s="5" t="n">
        <v>19</v>
      </c>
      <c r="F35" s="6" t="n">
        <v>57000</v>
      </c>
      <c r="G35" s="9">
        <f>IF(F35&gt;=100000,"大口","通常")</f>
        <v/>
      </c>
    </row>
    <row r="36">
      <c r="A36" s="10" t="n">
        <v>46142</v>
      </c>
      <c r="B36" s="5" t="inlineStr">
        <is>
          <t>佐藤</t>
        </is>
      </c>
      <c r="C36" s="5" t="inlineStr">
        <is>
          <t>名古屋</t>
        </is>
      </c>
      <c r="D36" s="5" t="inlineStr">
        <is>
          <t>マウス</t>
        </is>
      </c>
      <c r="E36" s="5" t="n">
        <v>8</v>
      </c>
      <c r="F36" s="6" t="n">
        <v>24000</v>
      </c>
      <c r="G36" s="9">
        <f>IF(F36&gt;=100000,"大口","通常")</f>
        <v/>
      </c>
    </row>
    <row r="37">
      <c r="A37" s="10" t="n">
        <v>46142</v>
      </c>
      <c r="B37" s="5" t="inlineStr">
        <is>
          <t>佐藤</t>
        </is>
      </c>
      <c r="C37" s="5" t="inlineStr">
        <is>
          <t>東京</t>
        </is>
      </c>
      <c r="D37" s="5" t="inlineStr">
        <is>
          <t>ヘッドセット</t>
        </is>
      </c>
      <c r="E37" s="5" t="n">
        <v>2</v>
      </c>
      <c r="F37" s="6" t="n">
        <v>24000</v>
      </c>
      <c r="G37" s="9">
        <f>IF(F37&gt;=100000,"大口","通常")</f>
        <v/>
      </c>
    </row>
    <row r="38">
      <c r="A38" s="10" t="n">
        <v>46143</v>
      </c>
      <c r="B38" s="5" t="inlineStr">
        <is>
          <t>佐藤</t>
        </is>
      </c>
      <c r="C38" s="5" t="inlineStr">
        <is>
          <t>東京</t>
        </is>
      </c>
      <c r="D38" s="5" t="inlineStr">
        <is>
          <t>ヘッドセット</t>
        </is>
      </c>
      <c r="E38" s="5" t="n">
        <v>5</v>
      </c>
      <c r="F38" s="6" t="n">
        <v>60000</v>
      </c>
      <c r="G38" s="9">
        <f>IF(F38&gt;=100000,"大口","通常")</f>
        <v/>
      </c>
    </row>
    <row r="39">
      <c r="A39" s="10" t="n">
        <v>46144</v>
      </c>
      <c r="B39" s="5" t="inlineStr">
        <is>
          <t>田中</t>
        </is>
      </c>
      <c r="C39" s="5" t="inlineStr">
        <is>
          <t>東京</t>
        </is>
      </c>
      <c r="D39" s="5" t="inlineStr">
        <is>
          <t>ヘッドセット</t>
        </is>
      </c>
      <c r="E39" s="5" t="n">
        <v>6</v>
      </c>
      <c r="F39" s="6" t="n">
        <v>72000</v>
      </c>
      <c r="G39" s="9">
        <f>IF(F39&gt;=100000,"大口","通常")</f>
        <v/>
      </c>
    </row>
    <row r="40">
      <c r="A40" s="10" t="n">
        <v>46145</v>
      </c>
      <c r="B40" s="5" t="inlineStr">
        <is>
          <t>鈴木</t>
        </is>
      </c>
      <c r="C40" s="5" t="inlineStr">
        <is>
          <t>大阪</t>
        </is>
      </c>
      <c r="D40" s="5" t="inlineStr">
        <is>
          <t>モニター</t>
        </is>
      </c>
      <c r="E40" s="5" t="n">
        <v>4</v>
      </c>
      <c r="F40" s="6" t="n">
        <v>140000</v>
      </c>
      <c r="G40" s="9">
        <f>IF(F40&gt;=100000,"大口","通常")</f>
        <v/>
      </c>
    </row>
    <row r="41">
      <c r="A41" s="10" t="n">
        <v>46147</v>
      </c>
      <c r="B41" s="5" t="inlineStr">
        <is>
          <t>田中</t>
        </is>
      </c>
      <c r="C41" s="5" t="inlineStr">
        <is>
          <t>名古屋</t>
        </is>
      </c>
      <c r="D41" s="5" t="inlineStr">
        <is>
          <t>ノートPC</t>
        </is>
      </c>
      <c r="E41" s="5" t="n">
        <v>2</v>
      </c>
      <c r="F41" s="6" t="n">
        <v>300000</v>
      </c>
      <c r="G41" s="9">
        <f>IF(F41&gt;=100000,"大口","通常")</f>
        <v/>
      </c>
    </row>
    <row r="42">
      <c r="A42" s="10" t="n">
        <v>46148</v>
      </c>
      <c r="B42" s="5" t="inlineStr">
        <is>
          <t>高橋</t>
        </is>
      </c>
      <c r="C42" s="5" t="inlineStr">
        <is>
          <t>大阪</t>
        </is>
      </c>
      <c r="D42" s="5" t="inlineStr">
        <is>
          <t>マウス</t>
        </is>
      </c>
      <c r="E42" s="5" t="n">
        <v>8</v>
      </c>
      <c r="F42" s="6" t="n">
        <v>24000</v>
      </c>
      <c r="G42" s="9">
        <f>IF(F42&gt;=100000,"大口","通常")</f>
        <v/>
      </c>
    </row>
    <row r="43">
      <c r="A43" s="10" t="n">
        <v>46149</v>
      </c>
      <c r="B43" s="5" t="inlineStr">
        <is>
          <t>佐藤</t>
        </is>
      </c>
      <c r="C43" s="5" t="inlineStr">
        <is>
          <t>東京</t>
        </is>
      </c>
      <c r="D43" s="5" t="inlineStr">
        <is>
          <t>マウス</t>
        </is>
      </c>
      <c r="E43" s="5" t="n">
        <v>14</v>
      </c>
      <c r="F43" s="6" t="n">
        <v>42000</v>
      </c>
      <c r="G43" s="9">
        <f>IF(F43&gt;=100000,"大口","通常")</f>
        <v/>
      </c>
    </row>
    <row r="44">
      <c r="A44" s="10" t="n">
        <v>46150</v>
      </c>
      <c r="B44" s="5" t="inlineStr">
        <is>
          <t>鈴木</t>
        </is>
      </c>
      <c r="C44" s="5" t="inlineStr">
        <is>
          <t>大阪</t>
        </is>
      </c>
      <c r="D44" s="5" t="inlineStr">
        <is>
          <t>ノートPC</t>
        </is>
      </c>
      <c r="E44" s="5" t="n">
        <v>3</v>
      </c>
      <c r="F44" s="6" t="n">
        <v>450000</v>
      </c>
      <c r="G44" s="9">
        <f>IF(F44&gt;=100000,"大口","通常")</f>
        <v/>
      </c>
    </row>
    <row r="45">
      <c r="A45" s="10" t="n">
        <v>46150</v>
      </c>
      <c r="B45" s="5" t="inlineStr">
        <is>
          <t>高橋</t>
        </is>
      </c>
      <c r="C45" s="5" t="inlineStr">
        <is>
          <t>大阪</t>
        </is>
      </c>
      <c r="D45" s="5" t="inlineStr">
        <is>
          <t>モニター</t>
        </is>
      </c>
      <c r="E45" s="5" t="n">
        <v>3</v>
      </c>
      <c r="F45" s="6" t="n">
        <v>105000</v>
      </c>
      <c r="G45" s="9">
        <f>IF(F45&gt;=100000,"大口","通常")</f>
        <v/>
      </c>
    </row>
    <row r="46">
      <c r="A46" s="10" t="n">
        <v>46152</v>
      </c>
      <c r="B46" s="5" t="inlineStr">
        <is>
          <t>高橋</t>
        </is>
      </c>
      <c r="C46" s="5" t="inlineStr">
        <is>
          <t>名古屋</t>
        </is>
      </c>
      <c r="D46" s="5" t="inlineStr">
        <is>
          <t>マウス</t>
        </is>
      </c>
      <c r="E46" s="5" t="n">
        <v>7</v>
      </c>
      <c r="F46" s="6" t="n">
        <v>21000</v>
      </c>
      <c r="G46" s="9">
        <f>IF(F46&gt;=100000,"大口","通常")</f>
        <v/>
      </c>
    </row>
    <row r="47">
      <c r="A47" s="10" t="n">
        <v>46155</v>
      </c>
      <c r="B47" s="5" t="inlineStr">
        <is>
          <t>鈴木</t>
        </is>
      </c>
      <c r="C47" s="5" t="inlineStr">
        <is>
          <t>大阪</t>
        </is>
      </c>
      <c r="D47" s="5" t="inlineStr">
        <is>
          <t>ヘッドセット</t>
        </is>
      </c>
      <c r="E47" s="5" t="n">
        <v>7</v>
      </c>
      <c r="F47" s="6" t="n">
        <v>84000</v>
      </c>
      <c r="G47" s="9">
        <f>IF(F47&gt;=100000,"大口","通常")</f>
        <v/>
      </c>
    </row>
    <row r="48">
      <c r="A48" s="10" t="n">
        <v>46155</v>
      </c>
      <c r="B48" s="5" t="inlineStr">
        <is>
          <t>田中</t>
        </is>
      </c>
      <c r="C48" s="5" t="inlineStr">
        <is>
          <t>名古屋</t>
        </is>
      </c>
      <c r="D48" s="5" t="inlineStr">
        <is>
          <t>ヘッドセット</t>
        </is>
      </c>
      <c r="E48" s="5" t="n">
        <v>7</v>
      </c>
      <c r="F48" s="6" t="n">
        <v>84000</v>
      </c>
      <c r="G48" s="9">
        <f>IF(F48&gt;=100000,"大口","通常")</f>
        <v/>
      </c>
    </row>
    <row r="49">
      <c r="A49" s="10" t="n">
        <v>46156</v>
      </c>
      <c r="B49" s="5" t="inlineStr">
        <is>
          <t>高橋</t>
        </is>
      </c>
      <c r="C49" s="5" t="inlineStr">
        <is>
          <t>名古屋</t>
        </is>
      </c>
      <c r="D49" s="5" t="inlineStr">
        <is>
          <t>ヘッドセット</t>
        </is>
      </c>
      <c r="E49" s="5" t="n">
        <v>8</v>
      </c>
      <c r="F49" s="6" t="n">
        <v>96000</v>
      </c>
      <c r="G49" s="9">
        <f>IF(F49&gt;=100000,"大口","通常")</f>
        <v/>
      </c>
    </row>
    <row r="50">
      <c r="A50" s="10" t="n">
        <v>46157</v>
      </c>
      <c r="B50" s="5" t="inlineStr">
        <is>
          <t>高橋</t>
        </is>
      </c>
      <c r="C50" s="5" t="inlineStr">
        <is>
          <t>名古屋</t>
        </is>
      </c>
      <c r="D50" s="5" t="inlineStr">
        <is>
          <t>キーボード</t>
        </is>
      </c>
      <c r="E50" s="5" t="n">
        <v>9</v>
      </c>
      <c r="F50" s="6" t="n">
        <v>72000</v>
      </c>
      <c r="G50" s="9">
        <f>IF(F50&gt;=100000,"大口","通常")</f>
        <v/>
      </c>
    </row>
    <row r="51">
      <c r="A51" s="10" t="n">
        <v>46157</v>
      </c>
      <c r="B51" s="5" t="inlineStr">
        <is>
          <t>鈴木</t>
        </is>
      </c>
      <c r="C51" s="5" t="inlineStr">
        <is>
          <t>大阪</t>
        </is>
      </c>
      <c r="D51" s="5" t="inlineStr">
        <is>
          <t>ヘッドセット</t>
        </is>
      </c>
      <c r="E51" s="5" t="n">
        <v>7</v>
      </c>
      <c r="F51" s="6" t="n">
        <v>84000</v>
      </c>
      <c r="G51" s="9">
        <f>IF(F51&gt;=100000,"大口","通常")</f>
        <v/>
      </c>
    </row>
    <row r="52">
      <c r="A52" s="10" t="n">
        <v>46158</v>
      </c>
      <c r="B52" s="5" t="inlineStr">
        <is>
          <t>高橋</t>
        </is>
      </c>
      <c r="C52" s="5" t="inlineStr">
        <is>
          <t>名古屋</t>
        </is>
      </c>
      <c r="D52" s="5" t="inlineStr">
        <is>
          <t>キーボード</t>
        </is>
      </c>
      <c r="E52" s="5" t="n">
        <v>4</v>
      </c>
      <c r="F52" s="6" t="n">
        <v>32000</v>
      </c>
      <c r="G52" s="9">
        <f>IF(F52&gt;=100000,"大口","通常")</f>
        <v/>
      </c>
    </row>
    <row r="53">
      <c r="A53" s="10" t="n">
        <v>46158</v>
      </c>
      <c r="B53" s="5" t="inlineStr">
        <is>
          <t>鈴木</t>
        </is>
      </c>
      <c r="C53" s="5" t="inlineStr">
        <is>
          <t>東京</t>
        </is>
      </c>
      <c r="D53" s="5" t="inlineStr">
        <is>
          <t>ヘッドセット</t>
        </is>
      </c>
      <c r="E53" s="5" t="n">
        <v>6</v>
      </c>
      <c r="F53" s="6" t="n">
        <v>72000</v>
      </c>
      <c r="G53" s="9">
        <f>IF(F53&gt;=100000,"大口","通常")</f>
        <v/>
      </c>
    </row>
    <row r="54">
      <c r="A54" s="10" t="n">
        <v>46159</v>
      </c>
      <c r="B54" s="5" t="inlineStr">
        <is>
          <t>田中</t>
        </is>
      </c>
      <c r="C54" s="5" t="inlineStr">
        <is>
          <t>大阪</t>
        </is>
      </c>
      <c r="D54" s="5" t="inlineStr">
        <is>
          <t>ヘッドセット</t>
        </is>
      </c>
      <c r="E54" s="5" t="n">
        <v>4</v>
      </c>
      <c r="F54" s="6" t="n">
        <v>48000</v>
      </c>
      <c r="G54" s="9">
        <f>IF(F54&gt;=100000,"大口","通常")</f>
        <v/>
      </c>
    </row>
    <row r="55">
      <c r="A55" s="10" t="n">
        <v>46159</v>
      </c>
      <c r="B55" s="5" t="inlineStr">
        <is>
          <t>鈴木</t>
        </is>
      </c>
      <c r="C55" s="5" t="inlineStr">
        <is>
          <t>大阪</t>
        </is>
      </c>
      <c r="D55" s="5" t="inlineStr">
        <is>
          <t>キーボード</t>
        </is>
      </c>
      <c r="E55" s="5" t="n">
        <v>5</v>
      </c>
      <c r="F55" s="6" t="n">
        <v>40000</v>
      </c>
      <c r="G55" s="9">
        <f>IF(F55&gt;=100000,"大口","通常")</f>
        <v/>
      </c>
    </row>
    <row r="56">
      <c r="A56" s="10" t="n">
        <v>46162</v>
      </c>
      <c r="B56" s="5" t="inlineStr">
        <is>
          <t>鈴木</t>
        </is>
      </c>
      <c r="C56" s="5" t="inlineStr">
        <is>
          <t>東京</t>
        </is>
      </c>
      <c r="D56" s="5" t="inlineStr">
        <is>
          <t>ノートPC</t>
        </is>
      </c>
      <c r="E56" s="5" t="n">
        <v>3</v>
      </c>
      <c r="F56" s="6" t="n">
        <v>450000</v>
      </c>
      <c r="G56" s="9">
        <f>IF(F56&gt;=100000,"大口","通常")</f>
        <v/>
      </c>
    </row>
    <row r="57">
      <c r="A57" s="10" t="n">
        <v>46164</v>
      </c>
      <c r="B57" s="5" t="inlineStr">
        <is>
          <t>高橋</t>
        </is>
      </c>
      <c r="C57" s="5" t="inlineStr">
        <is>
          <t>名古屋</t>
        </is>
      </c>
      <c r="D57" s="5" t="inlineStr">
        <is>
          <t>モニター</t>
        </is>
      </c>
      <c r="E57" s="5" t="n">
        <v>1</v>
      </c>
      <c r="F57" s="6" t="n">
        <v>35000</v>
      </c>
      <c r="G57" s="9">
        <f>IF(F57&gt;=100000,"大口","通常")</f>
        <v/>
      </c>
    </row>
    <row r="58">
      <c r="A58" s="10" t="n">
        <v>46165</v>
      </c>
      <c r="B58" s="5" t="inlineStr">
        <is>
          <t>佐藤</t>
        </is>
      </c>
      <c r="C58" s="5" t="inlineStr">
        <is>
          <t>東京</t>
        </is>
      </c>
      <c r="D58" s="5" t="inlineStr">
        <is>
          <t>ヘッドセット</t>
        </is>
      </c>
      <c r="E58" s="5" t="n">
        <v>5</v>
      </c>
      <c r="F58" s="6" t="n">
        <v>60000</v>
      </c>
      <c r="G58" s="9">
        <f>IF(F58&gt;=100000,"大口","通常")</f>
        <v/>
      </c>
    </row>
    <row r="59">
      <c r="A59" s="10" t="n">
        <v>46166</v>
      </c>
      <c r="B59" s="5" t="inlineStr">
        <is>
          <t>佐藤</t>
        </is>
      </c>
      <c r="C59" s="5" t="inlineStr">
        <is>
          <t>東京</t>
        </is>
      </c>
      <c r="D59" s="5" t="inlineStr">
        <is>
          <t>ヘッドセット</t>
        </is>
      </c>
      <c r="E59" s="5" t="n">
        <v>8</v>
      </c>
      <c r="F59" s="6" t="n">
        <v>96000</v>
      </c>
      <c r="G59" s="9">
        <f>IF(F59&gt;=100000,"大口","通常")</f>
        <v/>
      </c>
    </row>
    <row r="60">
      <c r="A60" s="10" t="n">
        <v>46167</v>
      </c>
      <c r="B60" s="5" t="inlineStr">
        <is>
          <t>佐藤</t>
        </is>
      </c>
      <c r="C60" s="5" t="inlineStr">
        <is>
          <t>東京</t>
        </is>
      </c>
      <c r="D60" s="5" t="inlineStr">
        <is>
          <t>モニター</t>
        </is>
      </c>
      <c r="E60" s="5" t="n">
        <v>2</v>
      </c>
      <c r="F60" s="6" t="n">
        <v>70000</v>
      </c>
      <c r="G60" s="9">
        <f>IF(F60&gt;=100000,"大口","通常")</f>
        <v/>
      </c>
    </row>
    <row r="61">
      <c r="A61" s="10" t="n">
        <v>46167</v>
      </c>
      <c r="B61" s="5" t="inlineStr">
        <is>
          <t>佐藤</t>
        </is>
      </c>
      <c r="C61" s="5" t="inlineStr">
        <is>
          <t>名古屋</t>
        </is>
      </c>
      <c r="D61" s="5" t="inlineStr">
        <is>
          <t>キーボード</t>
        </is>
      </c>
      <c r="E61" s="5" t="n">
        <v>3</v>
      </c>
      <c r="F61" s="6" t="n">
        <v>24000</v>
      </c>
      <c r="G61" s="9">
        <f>IF(F61&gt;=100000,"大口","通常")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2" customWidth="1" min="4" max="4"/>
    <col width="3" customWidth="1" min="5" max="5"/>
    <col width="10" customWidth="1" min="6" max="6"/>
    <col width="8" customWidth="1" min="7" max="7"/>
    <col width="14" customWidth="1" min="8" max="8"/>
    <col width="10" customWidth="1" min="9" max="9"/>
  </cols>
  <sheetData>
    <row r="1">
      <c r="A1" s="2" t="inlineStr">
        <is>
          <t>地域別集計</t>
        </is>
      </c>
      <c r="F1" s="2" t="inlineStr">
        <is>
          <t>担当者別集計</t>
        </is>
      </c>
    </row>
    <row r="2">
      <c r="A2" s="4" t="inlineStr">
        <is>
          <t>地域</t>
        </is>
      </c>
      <c r="B2" s="4" t="inlineStr">
        <is>
          <t>件数</t>
        </is>
      </c>
      <c r="C2" s="4" t="inlineStr">
        <is>
          <t>金額合計</t>
        </is>
      </c>
      <c r="D2" s="4" t="inlineStr">
        <is>
          <t>平均金額</t>
        </is>
      </c>
      <c r="F2" s="4" t="inlineStr">
        <is>
          <t>担当者</t>
        </is>
      </c>
      <c r="G2" s="4" t="inlineStr">
        <is>
          <t>件数</t>
        </is>
      </c>
      <c r="H2" s="4" t="inlineStr">
        <is>
          <t>金額合計</t>
        </is>
      </c>
      <c r="I2" s="4" t="inlineStr">
        <is>
          <t>構成比</t>
        </is>
      </c>
    </row>
    <row r="3">
      <c r="A3" s="5" t="inlineStr">
        <is>
          <t>東京</t>
        </is>
      </c>
      <c r="B3" s="7">
        <f>COUNTIF(売上データ!$C$2:$C$61,A3)</f>
        <v/>
      </c>
      <c r="C3" s="7">
        <f>SUMIF(売上データ!$C$2:$C$61,A3,売上データ!$F$2:$F$61)</f>
        <v/>
      </c>
      <c r="D3" s="7">
        <f>ROUND(AVERAGEIF(売上データ!$C$2:$C$61,A3,売上データ!$F$2:$F$61),0)</f>
        <v/>
      </c>
      <c r="F3" s="5" t="inlineStr">
        <is>
          <t>佐藤</t>
        </is>
      </c>
      <c r="G3" s="7">
        <f>COUNTIF(売上データ!$B$2:$B$61,F3)</f>
        <v/>
      </c>
      <c r="H3" s="7">
        <f>SUMIF(売上データ!$B$2:$B$61,F3,売上データ!$F$2:$F$61)</f>
        <v/>
      </c>
      <c r="I3" s="11">
        <f>H3/SUM($H$3:$H$6)</f>
        <v/>
      </c>
    </row>
    <row r="4">
      <c r="A4" s="5" t="inlineStr">
        <is>
          <t>大阪</t>
        </is>
      </c>
      <c r="B4" s="7">
        <f>COUNTIF(売上データ!$C$2:$C$61,A4)</f>
        <v/>
      </c>
      <c r="C4" s="7">
        <f>SUMIF(売上データ!$C$2:$C$61,A4,売上データ!$F$2:$F$61)</f>
        <v/>
      </c>
      <c r="D4" s="7">
        <f>ROUND(AVERAGEIF(売上データ!$C$2:$C$61,A4,売上データ!$F$2:$F$61),0)</f>
        <v/>
      </c>
      <c r="F4" s="5" t="inlineStr">
        <is>
          <t>鈴木</t>
        </is>
      </c>
      <c r="G4" s="7">
        <f>COUNTIF(売上データ!$B$2:$B$61,F4)</f>
        <v/>
      </c>
      <c r="H4" s="7">
        <f>SUMIF(売上データ!$B$2:$B$61,F4,売上データ!$F$2:$F$61)</f>
        <v/>
      </c>
      <c r="I4" s="11">
        <f>H4/SUM($H$3:$H$6)</f>
        <v/>
      </c>
    </row>
    <row r="5">
      <c r="A5" s="5" t="inlineStr">
        <is>
          <t>名古屋</t>
        </is>
      </c>
      <c r="B5" s="7">
        <f>COUNTIF(売上データ!$C$2:$C$61,A5)</f>
        <v/>
      </c>
      <c r="C5" s="7">
        <f>SUMIF(売上データ!$C$2:$C$61,A5,売上データ!$F$2:$F$61)</f>
        <v/>
      </c>
      <c r="D5" s="7">
        <f>ROUND(AVERAGEIF(売上データ!$C$2:$C$61,A5,売上データ!$F$2:$F$61),0)</f>
        <v/>
      </c>
      <c r="F5" s="5" t="inlineStr">
        <is>
          <t>高橋</t>
        </is>
      </c>
      <c r="G5" s="7">
        <f>COUNTIF(売上データ!$B$2:$B$61,F5)</f>
        <v/>
      </c>
      <c r="H5" s="7">
        <f>SUMIF(売上データ!$B$2:$B$61,F5,売上データ!$F$2:$F$61)</f>
        <v/>
      </c>
      <c r="I5" s="11">
        <f>H5/SUM($H$3:$H$6)</f>
        <v/>
      </c>
    </row>
    <row r="6">
      <c r="A6" s="2" t="inlineStr">
        <is>
          <t>合計</t>
        </is>
      </c>
      <c r="B6" s="7">
        <f>SUM(B3:B5)</f>
        <v/>
      </c>
      <c r="C6" s="7">
        <f>SUM(C3:C5)</f>
        <v/>
      </c>
      <c r="F6" s="5" t="inlineStr">
        <is>
          <t>田中</t>
        </is>
      </c>
      <c r="G6" s="7">
        <f>COUNTIF(売上データ!$B$2:$B$61,F6)</f>
        <v/>
      </c>
      <c r="H6" s="7">
        <f>SUMIF(売上データ!$B$2:$B$61,F6,売上データ!$F$2:$F$61)</f>
        <v/>
      </c>
      <c r="I6" s="11">
        <f>H6/SUM($H$3:$H$6)</f>
        <v/>
      </c>
    </row>
    <row r="9">
      <c r="A9" s="2" t="inlineStr">
        <is>
          <t>条件付き集計</t>
        </is>
      </c>
    </row>
    <row r="10">
      <c r="A10" s="5" t="inlineStr">
        <is>
          <t>佐藤 かつ 東京 の金額合計</t>
        </is>
      </c>
      <c r="C10" s="7">
        <f>SUMIFS(売上データ!$F$2:$F$61,売上データ!$B$2:$B$61,"佐藤",売上データ!$C$2:$C$61,"東京")</f>
        <v/>
      </c>
    </row>
    <row r="11">
      <c r="A11" s="5" t="inlineStr">
        <is>
          <t>ノートPC の販売件数</t>
        </is>
      </c>
      <c r="C11" s="7">
        <f>COUNTIF(売上データ!$D$2:$D$61,"ノートPC")</f>
        <v/>
      </c>
    </row>
    <row r="12">
      <c r="A12" s="5" t="inlineStr">
        <is>
          <t>金額 10 万円以上の件数</t>
        </is>
      </c>
      <c r="C12" s="7">
        <f>COUNTIF(売上データ!$F$2:$F$61,"&gt;=100000")</f>
        <v/>
      </c>
    </row>
    <row r="13">
      <c r="A13" s="5" t="inlineStr">
        <is>
          <t>東京以外の金額合計</t>
        </is>
      </c>
      <c r="C13" s="7">
        <f>SUMIF(売上データ!$C$2:$C$61,"&lt;&gt;東京",売上データ!$F$2:$F$61)</f>
        <v/>
      </c>
    </row>
    <row r="14">
      <c r="A14" s="5" t="inlineStr">
        <is>
          <t>5 月の金額合計</t>
        </is>
      </c>
      <c r="C14" s="7">
        <f>SUMIFS(売上データ!$F$2:$F$61,売上データ!$A$2:$A$61,"&gt;="&amp;DATE(2026,5,1),売上データ!$A$2:$A$61,"&lt;"&amp;DATE(2026,6,1))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4" t="inlineStr">
        <is>
          <t>コード</t>
        </is>
      </c>
      <c r="B1" s="4" t="inlineStr">
        <is>
          <t>商品名</t>
        </is>
      </c>
      <c r="C1" s="4" t="inlineStr">
        <is>
          <t>単価</t>
        </is>
      </c>
    </row>
    <row r="2">
      <c r="A2" s="5" t="inlineStr">
        <is>
          <t>P001</t>
        </is>
      </c>
      <c r="B2" s="5" t="inlineStr">
        <is>
          <t>ノートPC</t>
        </is>
      </c>
      <c r="C2" s="6" t="n">
        <v>150000</v>
      </c>
    </row>
    <row r="3">
      <c r="A3" s="5" t="inlineStr">
        <is>
          <t>P002</t>
        </is>
      </c>
      <c r="B3" s="5" t="inlineStr">
        <is>
          <t>マウス</t>
        </is>
      </c>
      <c r="C3" s="6" t="n">
        <v>3000</v>
      </c>
    </row>
    <row r="4">
      <c r="A4" s="5" t="inlineStr">
        <is>
          <t>P003</t>
        </is>
      </c>
      <c r="B4" s="5" t="inlineStr">
        <is>
          <t>モニター</t>
        </is>
      </c>
      <c r="C4" s="6" t="n">
        <v>35000</v>
      </c>
    </row>
    <row r="5">
      <c r="A5" s="5" t="inlineStr">
        <is>
          <t>P004</t>
        </is>
      </c>
      <c r="B5" s="5" t="inlineStr">
        <is>
          <t>キーボード</t>
        </is>
      </c>
      <c r="C5" s="6" t="n">
        <v>8000</v>
      </c>
    </row>
    <row r="6">
      <c r="A6" s="5" t="inlineStr">
        <is>
          <t>P005</t>
        </is>
      </c>
      <c r="B6" s="5" t="inlineStr">
        <is>
          <t>ヘッドセット</t>
        </is>
      </c>
      <c r="C6" s="6" t="n">
        <v>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8" customWidth="1" min="4" max="4"/>
    <col width="12" customWidth="1" min="5" max="5"/>
  </cols>
  <sheetData>
    <row r="1">
      <c r="A1" s="4" t="inlineStr">
        <is>
          <t>コード</t>
        </is>
      </c>
      <c r="B1" s="4" t="inlineStr">
        <is>
          <t>商品名</t>
        </is>
      </c>
      <c r="C1" s="4" t="inlineStr">
        <is>
          <t>単価</t>
        </is>
      </c>
      <c r="D1" s="4" t="inlineStr">
        <is>
          <t>数量</t>
        </is>
      </c>
      <c r="E1" s="4" t="inlineStr">
        <is>
          <t>金額</t>
        </is>
      </c>
    </row>
    <row r="2">
      <c r="A2" s="5" t="inlineStr">
        <is>
          <t>P003</t>
        </is>
      </c>
      <c r="B2" s="9">
        <f>IFERROR(VLOOKUP(A2,商品マスタ!$A$2:$C$6,2,FALSE),"コード未登録")</f>
        <v/>
      </c>
      <c r="C2" s="7">
        <f>IFERROR(VLOOKUP(A2,商品マスタ!$A$2:$C$6,3,FALSE),0)</f>
        <v/>
      </c>
      <c r="D2" s="5" t="n">
        <v>2</v>
      </c>
      <c r="E2" s="7">
        <f>C2*D2</f>
        <v/>
      </c>
    </row>
    <row r="3">
      <c r="A3" s="5" t="inlineStr">
        <is>
          <t>P001</t>
        </is>
      </c>
      <c r="B3" s="9">
        <f>IFERROR(VLOOKUP(A3,商品マスタ!$A$2:$C$6,2,FALSE),"コード未登録")</f>
        <v/>
      </c>
      <c r="C3" s="7">
        <f>IFERROR(VLOOKUP(A3,商品マスタ!$A$2:$C$6,3,FALSE),0)</f>
        <v/>
      </c>
      <c r="D3" s="5" t="n">
        <v>1</v>
      </c>
      <c r="E3" s="7">
        <f>C3*D3</f>
        <v/>
      </c>
    </row>
    <row r="4">
      <c r="A4" s="5" t="inlineStr">
        <is>
          <t>P005</t>
        </is>
      </c>
      <c r="B4" s="9">
        <f>IFERROR(VLOOKUP(A4,商品マスタ!$A$2:$C$6,2,FALSE),"コード未登録")</f>
        <v/>
      </c>
      <c r="C4" s="7">
        <f>IFERROR(VLOOKUP(A4,商品マスタ!$A$2:$C$6,3,FALSE),0)</f>
        <v/>
      </c>
      <c r="D4" s="5" t="n">
        <v>4</v>
      </c>
      <c r="E4" s="7">
        <f>C4*D4</f>
        <v/>
      </c>
    </row>
    <row r="5">
      <c r="A5" s="5" t="inlineStr">
        <is>
          <t>P002</t>
        </is>
      </c>
      <c r="B5" s="9">
        <f>IFERROR(VLOOKUP(A5,商品マスタ!$A$2:$C$6,2,FALSE),"コード未登録")</f>
        <v/>
      </c>
      <c r="C5" s="7">
        <f>IFERROR(VLOOKUP(A5,商品マスタ!$A$2:$C$6,3,FALSE),0)</f>
        <v/>
      </c>
      <c r="D5" s="5" t="n">
        <v>10</v>
      </c>
      <c r="E5" s="7">
        <f>C5*D5</f>
        <v/>
      </c>
    </row>
    <row r="6">
      <c r="A6" s="5" t="inlineStr">
        <is>
          <t>P999</t>
        </is>
      </c>
      <c r="B6" s="9">
        <f>IFERROR(VLOOKUP(A6,商品マスタ!$A$2:$C$6,2,FALSE),"コード未登録")</f>
        <v/>
      </c>
      <c r="C6" s="7">
        <f>IFERROR(VLOOKUP(A6,商品マスタ!$A$2:$C$6,3,FALSE),0)</f>
        <v/>
      </c>
      <c r="D6" s="5" t="n">
        <v>1</v>
      </c>
      <c r="E6" s="7">
        <f>C6*D6</f>
        <v/>
      </c>
    </row>
    <row r="7">
      <c r="D7" s="2" t="inlineStr">
        <is>
          <t>合計</t>
        </is>
      </c>
      <c r="E7" s="7">
        <f>SUM(E2:E6)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2" t="inlineStr">
        <is>
          <t>支店別 月次売上（千円）</t>
        </is>
      </c>
    </row>
    <row r="2">
      <c r="A2" s="4" t="inlineStr">
        <is>
          <t>支店</t>
        </is>
      </c>
      <c r="B2" s="4" t="inlineStr">
        <is>
          <t>4月</t>
        </is>
      </c>
      <c r="C2" s="4" t="inlineStr">
        <is>
          <t>5月</t>
        </is>
      </c>
      <c r="D2" s="4" t="inlineStr">
        <is>
          <t>6月</t>
        </is>
      </c>
      <c r="E2" s="4" t="inlineStr">
        <is>
          <t>7月</t>
        </is>
      </c>
      <c r="F2" s="4" t="inlineStr">
        <is>
          <t>8月</t>
        </is>
      </c>
      <c r="G2" s="4" t="inlineStr">
        <is>
          <t>9月</t>
        </is>
      </c>
      <c r="H2" s="4" t="inlineStr">
        <is>
          <t>合計</t>
        </is>
      </c>
    </row>
    <row r="3">
      <c r="A3" s="5" t="inlineStr">
        <is>
          <t>東京</t>
        </is>
      </c>
      <c r="B3" s="6" t="n">
        <v>1200</v>
      </c>
      <c r="C3" s="6" t="n">
        <v>1350</v>
      </c>
      <c r="D3" s="6" t="n">
        <v>1280</v>
      </c>
      <c r="E3" s="6" t="n">
        <v>1500</v>
      </c>
      <c r="F3" s="6" t="n">
        <v>1620</v>
      </c>
      <c r="G3" s="6" t="n">
        <v>1580</v>
      </c>
      <c r="H3" s="7">
        <f>SUM(B3:G3)</f>
        <v/>
      </c>
    </row>
    <row r="4">
      <c r="A4" s="5" t="inlineStr">
        <is>
          <t>大阪</t>
        </is>
      </c>
      <c r="B4" s="6" t="n">
        <v>900</v>
      </c>
      <c r="C4" s="6" t="n">
        <v>850</v>
      </c>
      <c r="D4" s="6" t="n">
        <v>880</v>
      </c>
      <c r="E4" s="6" t="n">
        <v>800</v>
      </c>
      <c r="F4" s="6" t="n">
        <v>750</v>
      </c>
      <c r="G4" s="6" t="n">
        <v>820</v>
      </c>
      <c r="H4" s="7">
        <f>SUM(B4:G4)</f>
        <v/>
      </c>
    </row>
    <row r="5">
      <c r="A5" s="5" t="inlineStr">
        <is>
          <t>名古屋</t>
        </is>
      </c>
      <c r="B5" s="6" t="n">
        <v>500</v>
      </c>
      <c r="C5" s="6" t="n">
        <v>540</v>
      </c>
      <c r="D5" s="6" t="n">
        <v>610</v>
      </c>
      <c r="E5" s="6" t="n">
        <v>590</v>
      </c>
      <c r="F5" s="6" t="n">
        <v>650</v>
      </c>
      <c r="G5" s="6" t="n">
        <v>700</v>
      </c>
      <c r="H5" s="7">
        <f>SUM(B5:G5)</f>
        <v/>
      </c>
    </row>
    <row r="6">
      <c r="A6" s="5" t="inlineStr">
        <is>
          <t>福岡</t>
        </is>
      </c>
      <c r="B6" s="6" t="n">
        <v>300</v>
      </c>
      <c r="C6" s="6" t="n">
        <v>320</v>
      </c>
      <c r="D6" s="6" t="n">
        <v>310</v>
      </c>
      <c r="E6" s="6" t="n">
        <v>360</v>
      </c>
      <c r="F6" s="6" t="n">
        <v>380</v>
      </c>
      <c r="G6" s="6" t="n">
        <v>420</v>
      </c>
      <c r="H6" s="7">
        <f>SUM(B6:G6)</f>
        <v/>
      </c>
    </row>
    <row r="7">
      <c r="A7" s="2" t="inlineStr">
        <is>
          <t>合計</t>
        </is>
      </c>
      <c r="B7" s="7">
        <f>SUM(B3:B6)</f>
        <v/>
      </c>
      <c r="C7" s="7">
        <f>SUM(C3:C6)</f>
        <v/>
      </c>
      <c r="D7" s="7">
        <f>SUM(D3:D6)</f>
        <v/>
      </c>
      <c r="E7" s="7">
        <f>SUM(E3:E6)</f>
        <v/>
      </c>
      <c r="F7" s="7">
        <f>SUM(F3:F6)</f>
        <v/>
      </c>
      <c r="G7" s="7">
        <f>SUM(G3:G6)</f>
        <v/>
      </c>
      <c r="H7" s="7">
        <f>SUM(H3:H6)</f>
        <v/>
      </c>
    </row>
    <row r="8">
      <c r="A8" s="2" t="inlineStr">
        <is>
          <t>前月比</t>
        </is>
      </c>
      <c r="C8" s="11">
        <f>C7/B7</f>
        <v/>
      </c>
      <c r="D8" s="11">
        <f>D7/C7</f>
        <v/>
      </c>
      <c r="E8" s="11">
        <f>E7/D7</f>
        <v/>
      </c>
      <c r="F8" s="11">
        <f>F7/E7</f>
        <v/>
      </c>
      <c r="G8" s="11">
        <f>G7/F7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2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課題</t>
        </is>
      </c>
      <c r="C1" s="4" t="inlineStr">
        <is>
          <t>担当</t>
        </is>
      </c>
      <c r="D1" s="4" t="inlineStr">
        <is>
          <t>期限</t>
        </is>
      </c>
      <c r="E1" s="4" t="inlineStr">
        <is>
          <t>ステータス</t>
        </is>
      </c>
    </row>
    <row r="2">
      <c r="A2" s="5" t="n">
        <v>1</v>
      </c>
      <c r="B2" s="5" t="inlineStr">
        <is>
          <t>ログイン画面の設計</t>
        </is>
      </c>
      <c r="C2" s="5" t="inlineStr">
        <is>
          <t>佐藤</t>
        </is>
      </c>
      <c r="D2" s="12" t="n">
        <v>46309</v>
      </c>
      <c r="E2" s="9" t="inlineStr">
        <is>
          <t>完了</t>
        </is>
      </c>
    </row>
    <row r="3">
      <c r="A3" s="5" t="n">
        <v>2</v>
      </c>
      <c r="B3" s="5" t="inlineStr">
        <is>
          <t>DB テーブル定義の作成</t>
        </is>
      </c>
      <c r="C3" s="5" t="inlineStr">
        <is>
          <t>鈴木</t>
        </is>
      </c>
      <c r="D3" s="12" t="n">
        <v>46311</v>
      </c>
      <c r="E3" s="9" t="inlineStr">
        <is>
          <t>対応中</t>
        </is>
      </c>
    </row>
    <row r="4">
      <c r="A4" s="5" t="n">
        <v>3</v>
      </c>
      <c r="B4" s="5" t="inlineStr">
        <is>
          <t>テスト仕様書の作成</t>
        </is>
      </c>
      <c r="C4" s="5" t="inlineStr">
        <is>
          <t>高橋</t>
        </is>
      </c>
      <c r="D4" s="12" t="n">
        <v>46315</v>
      </c>
      <c r="E4" s="9" t="inlineStr">
        <is>
          <t>未着手</t>
        </is>
      </c>
    </row>
    <row r="5">
      <c r="A5" s="5" t="n">
        <v>4</v>
      </c>
      <c r="B5" s="5" t="inlineStr">
        <is>
          <t>画面遷移図のレビュー</t>
        </is>
      </c>
      <c r="C5" s="5" t="inlineStr">
        <is>
          <t>田中</t>
        </is>
      </c>
      <c r="D5" s="12" t="n">
        <v>46308</v>
      </c>
      <c r="E5" s="9" t="inlineStr">
        <is>
          <t>完了</t>
        </is>
      </c>
    </row>
    <row r="6">
      <c r="A6" s="5" t="n">
        <v>5</v>
      </c>
      <c r="B6" s="5" t="inlineStr">
        <is>
          <t>API 一覧の作成</t>
        </is>
      </c>
      <c r="C6" s="5" t="inlineStr">
        <is>
          <t>佐藤</t>
        </is>
      </c>
      <c r="D6" s="12" t="n">
        <v>46316</v>
      </c>
      <c r="E6" s="9" t="inlineStr">
        <is>
          <t>対応中</t>
        </is>
      </c>
    </row>
    <row r="7">
      <c r="A7" s="5" t="n">
        <v>6</v>
      </c>
      <c r="B7" s="5" t="inlineStr">
        <is>
          <t>議事録の共有</t>
        </is>
      </c>
      <c r="C7" s="5" t="inlineStr">
        <is>
          <t>松尾</t>
        </is>
      </c>
      <c r="D7" s="12" t="n">
        <v>46307</v>
      </c>
      <c r="E7" s="9" t="inlineStr">
        <is>
          <t>未着手</t>
        </is>
      </c>
    </row>
  </sheetData>
  <conditionalFormatting sqref="A2:E7">
    <cfRule type="expression" priority="1" dxfId="0">
      <formula>$E2="完了"</formula>
    </cfRule>
  </conditionalFormatting>
  <dataValidations count="1">
    <dataValidation sqref="E2:E7" showDropDown="0" showInputMessage="0" showErrorMessage="0" allowBlank="1" type="list">
      <formula1>"未着手,対応中,完了"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2026-10-12T22:08:57Z</dcterms:created>
  <dcterms:modified xmlns:dcterms="http://purl.org/dc/terms/" xmlns:xsi="http://www.w3.org/2001/XMLSchema-instance" xsi:type="dcterms:W3CDTF">2026-10-12T22:08:57Z</dcterms:modified>
</cp:coreProperties>
</file>